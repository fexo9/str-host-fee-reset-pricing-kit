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ss-up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1F3864"/>
      <sz val="11"/>
    </font>
    <font>
      <sz val="10"/>
    </font>
    <font>
      <b val="1"/>
      <color rgb="001F3864"/>
      <sz val="10"/>
    </font>
    <font>
      <b val="1"/>
      <color rgb="00C00000"/>
      <sz val="10"/>
    </font>
    <font>
      <b val="1"/>
      <sz val="10"/>
    </font>
    <font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4" fillId="2" borderId="1" pivotButton="0" quotePrefix="0" xfId="0"/>
    <xf numFmtId="0" fontId="4" fillId="2" borderId="1" pivotButton="0" quotePrefix="0" xfId="0"/>
    <xf numFmtId="0" fontId="5" fillId="0" borderId="0" pivotButton="0" quotePrefix="0" xfId="0"/>
    <xf numFmtId="3" fontId="5" fillId="3" borderId="0" pivotButton="0" quotePrefix="0" xfId="0"/>
    <xf numFmtId="0" fontId="6" fillId="0" borderId="0" pivotButton="0" quotePrefix="0" xfId="0"/>
    <xf numFmtId="3" fontId="6" fillId="4" borderId="0" pivotButton="0" quotePrefix="0" xfId="0"/>
    <xf numFmtId="4" fontId="4" fillId="0" borderId="0" pivotButton="0" quotePrefix="0" xfId="0"/>
    <xf numFmtId="0" fontId="7" fillId="0" borderId="0" pivotButton="0" quotePrefix="0" xfId="0"/>
    <xf numFmtId="3" fontId="7" fillId="3" borderId="0" pivotButton="0" quotePrefix="0" xfId="0"/>
    <xf numFmtId="0" fontId="8" fillId="0" borderId="0" pivotButton="0" quotePrefix="0" xfId="0"/>
    <xf numFmtId="3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40" customWidth="1" min="3" max="3"/>
  </cols>
  <sheetData>
    <row r="1">
      <c r="A1" s="1" t="inlineStr">
        <is>
          <t>GROSS-UP CALCULATOR — The Correct Repricing Method</t>
        </is>
      </c>
    </row>
    <row r="2">
      <c r="A2" s="2" t="inlineStr">
        <is>
          <t>Per houfy.com (Sep 2026): to hold the same payout, divide the old price by 0.845 — an 18.3% gross-up, NOT adding 15.5%.</t>
        </is>
      </c>
    </row>
    <row r="3">
      <c r="A3" s="3" t="inlineStr">
        <is>
          <t>INPUTS</t>
        </is>
      </c>
    </row>
    <row r="4">
      <c r="A4" s="4" t="inlineStr">
        <is>
          <t>Old listed nightly price ($)</t>
        </is>
      </c>
      <c r="B4" s="5" t="n">
        <v>120</v>
      </c>
    </row>
    <row r="5">
      <c r="A5" s="4" t="inlineStr">
        <is>
          <t>Nights in this example booking</t>
        </is>
      </c>
      <c r="B5" s="6" t="n">
        <v>5</v>
      </c>
    </row>
    <row r="6"/>
    <row r="7">
      <c r="A7" s="7" t="inlineStr">
        <is>
          <t>CORRECT new price — old ÷ 0.845 ($)</t>
        </is>
      </c>
      <c r="B7" s="8">
        <f>ROUND(B4/0.845,0)</f>
        <v/>
      </c>
    </row>
    <row r="8">
      <c r="A8" s="9" t="inlineStr">
        <is>
          <t>WRONG method — old × 1.155 ($)</t>
        </is>
      </c>
      <c r="B8" s="10">
        <f>ROUND(B4*1.155,0)</f>
        <v/>
      </c>
    </row>
    <row r="9"/>
    <row r="10">
      <c r="A10" s="4" t="inlineStr">
        <is>
          <t>Host keeps per night — correct price ($)</t>
        </is>
      </c>
      <c r="B10" s="11">
        <f>B7*0.845</f>
        <v/>
      </c>
    </row>
    <row r="11">
      <c r="A11" s="4" t="inlineStr">
        <is>
          <t>Host keeps per night — wrong price ($)</t>
        </is>
      </c>
      <c r="B11" s="11">
        <f>B8*0.845</f>
        <v/>
      </c>
    </row>
    <row r="12"/>
    <row r="13">
      <c r="A13" s="12" t="inlineStr">
        <is>
          <t>Booking revenue — correct price ($)</t>
        </is>
      </c>
      <c r="B13" s="13">
        <f>B7*B5</f>
        <v/>
      </c>
    </row>
    <row r="14">
      <c r="A14" s="12" t="inlineStr">
        <is>
          <t>Booking revenue — wrong price ($)</t>
        </is>
      </c>
      <c r="B14" s="13">
        <f>B8*B5</f>
        <v/>
      </c>
    </row>
    <row r="15">
      <c r="A15" s="14" t="inlineStr">
        <is>
          <t>PER-BOOKING DOLLAR DIFFERENCE ($)</t>
        </is>
      </c>
      <c r="B15" s="15">
        <f>B13-B14</f>
        <v/>
      </c>
    </row>
    <row r="16"/>
    <row r="17">
      <c r="A17" s="2" t="inlineStr">
        <is>
          <t>The wrong method leaves (B7-B8) per night on the table on every booking — that is the cost of 'adding 15.5%'.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2026-10-02T09:38:09+00:00Z</dcterms:created>
  <dcterms:modified xmlns:dcterms="http://purl.org/dc/terms/" xmlns:xsi="http://www.w3.org/2001/XMLSchema-instance" xsi:type="dcterms:W3CDTF">2026-10-02T09:38:09+00:00Z</dcterms:modified>
</cp:coreProperties>
</file>